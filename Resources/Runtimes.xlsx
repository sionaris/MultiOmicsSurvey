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s3582_cam_ac_uk/Documents/Desktop/GitHub/MultiOmicsSurvey/Resources/"/>
    </mc:Choice>
  </mc:AlternateContent>
  <xr:revisionPtr revIDLastSave="71" documentId="13_ncr:1_{A7AA482A-EA94-4862-B88A-03EEEC75368F}" xr6:coauthVersionLast="47" xr6:coauthVersionMax="47" xr10:uidLastSave="{968C6517-E08A-4952-B9EE-1DCB5BD1D071}"/>
  <bookViews>
    <workbookView xWindow="44310" yWindow="1635" windowWidth="21600" windowHeight="111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3" i="1"/>
  <c r="G4" i="1"/>
  <c r="G5" i="1"/>
  <c r="G6" i="1"/>
  <c r="G9" i="1"/>
  <c r="G10" i="1"/>
  <c r="G11" i="1"/>
  <c r="G12" i="1"/>
  <c r="G13" i="1"/>
  <c r="G14" i="1"/>
  <c r="G15" i="1"/>
  <c r="G16" i="1"/>
  <c r="G17" i="1"/>
  <c r="G18" i="1"/>
  <c r="G19" i="1"/>
  <c r="G2" i="1"/>
</calcChain>
</file>

<file path=xl/sharedStrings.xml><?xml version="1.0" encoding="utf-8"?>
<sst xmlns="http://schemas.openxmlformats.org/spreadsheetml/2006/main" count="69" uniqueCount="35">
  <si>
    <t>Algorithm</t>
  </si>
  <si>
    <t>No. of cores</t>
  </si>
  <si>
    <t>No. of jobs</t>
  </si>
  <si>
    <t>Total runtime</t>
  </si>
  <si>
    <t>ab-SNF</t>
  </si>
  <si>
    <t>ANF</t>
  </si>
  <si>
    <t>MDICC</t>
  </si>
  <si>
    <t>MSNE</t>
  </si>
  <si>
    <t>NEMO</t>
  </si>
  <si>
    <t>RWR-F</t>
  </si>
  <si>
    <t>RWR-NF</t>
  </si>
  <si>
    <t>SNF</t>
  </si>
  <si>
    <t>Spectrum</t>
  </si>
  <si>
    <t>CIMLR</t>
  </si>
  <si>
    <t>KLIC</t>
  </si>
  <si>
    <t>wMKL</t>
  </si>
  <si>
    <t>MFA</t>
  </si>
  <si>
    <t>MOFA</t>
  </si>
  <si>
    <t>MONET</t>
  </si>
  <si>
    <t>iClusterBayes</t>
  </si>
  <si>
    <t>COCA</t>
  </si>
  <si>
    <t>LRAcluster</t>
  </si>
  <si>
    <t>Run type</t>
  </si>
  <si>
    <t>Local</t>
  </si>
  <si>
    <t>Runtime per job (min/job)</t>
  </si>
  <si>
    <t>Comment</t>
  </si>
  <si>
    <t>HPC</t>
  </si>
  <si>
    <t>HPC-GPU</t>
  </si>
  <si>
    <t>We added parallelization within the function. Without parallelization within the function, we cannot exactly say how much slower the process would be.</t>
  </si>
  <si>
    <t>Concurrent jobs</t>
  </si>
  <si>
    <t>Yes</t>
  </si>
  <si>
    <t>No</t>
  </si>
  <si>
    <t>Parallelization already implemented. 3 jobs went beyond the time limit (12h).</t>
  </si>
  <si>
    <t>Parallelization already implemented.</t>
  </si>
  <si>
    <t>1 GPU per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</si>
</sst>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G18" sqref="G18"/>
    </sheetView>
  </sheetViews>
  <sheetFormatPr defaultRowHeight="14.5" x14ac:dyDescent="0.35"/>
  <cols>
    <col min="1" max="1" width="12.54296875" style="2" bestFit="1" customWidth="1"/>
    <col min="2" max="2" width="12.54296875" style="2" customWidth="1"/>
    <col min="3" max="3" width="11" style="2" bestFit="1" customWidth="1"/>
    <col min="4" max="4" width="14.453125" style="2" bestFit="1" customWidth="1"/>
    <col min="5" max="5" width="10.08984375" style="2" bestFit="1" customWidth="1"/>
    <col min="6" max="6" width="12.54296875" style="2" bestFit="1" customWidth="1"/>
    <col min="7" max="7" width="24.54296875" style="2" bestFit="1" customWidth="1"/>
    <col min="8" max="8" width="133.453125" style="2" bestFit="1" customWidth="1"/>
    <col min="9" max="16384" width="8.7265625" style="2"/>
  </cols>
  <sheetData>
    <row r="1" spans="1:8" s="1" customFormat="1" x14ac:dyDescent="0.35">
      <c r="A1" s="1" t="s">
        <v>0</v>
      </c>
      <c r="B1" s="1" t="s">
        <v>22</v>
      </c>
      <c r="C1" s="1" t="s">
        <v>1</v>
      </c>
      <c r="D1" s="1" t="s">
        <v>29</v>
      </c>
      <c r="E1" s="1" t="s">
        <v>2</v>
      </c>
      <c r="F1" s="1" t="s">
        <v>3</v>
      </c>
      <c r="G1" s="1" t="s">
        <v>24</v>
      </c>
      <c r="H1" s="1" t="s">
        <v>25</v>
      </c>
    </row>
    <row r="2" spans="1:8" x14ac:dyDescent="0.35">
      <c r="A2" s="2" t="s">
        <v>4</v>
      </c>
      <c r="B2" s="2" t="s">
        <v>23</v>
      </c>
      <c r="C2" s="2">
        <v>6</v>
      </c>
      <c r="D2" s="2" t="s">
        <v>30</v>
      </c>
      <c r="E2" s="2">
        <v>54</v>
      </c>
      <c r="F2" s="2">
        <v>28</v>
      </c>
      <c r="G2" s="2">
        <f>IF(D2 = "Yes", (F2*C2)/E2, F2/E2)</f>
        <v>3.1111111111111112</v>
      </c>
    </row>
    <row r="3" spans="1:8" x14ac:dyDescent="0.35">
      <c r="A3" s="2" t="s">
        <v>5</v>
      </c>
      <c r="B3" s="2" t="s">
        <v>23</v>
      </c>
      <c r="C3" s="2">
        <v>1</v>
      </c>
      <c r="D3" s="2" t="s">
        <v>30</v>
      </c>
      <c r="E3" s="2">
        <v>9</v>
      </c>
      <c r="F3" s="2">
        <v>0.5</v>
      </c>
      <c r="G3" s="2">
        <f t="shared" ref="G3:G19" si="0">IF(D3 = "Yes", (F3*C3)/E3, F3/E3)</f>
        <v>5.5555555555555552E-2</v>
      </c>
    </row>
    <row r="4" spans="1:8" x14ac:dyDescent="0.35">
      <c r="A4" s="2" t="s">
        <v>6</v>
      </c>
      <c r="B4" s="2" t="s">
        <v>23</v>
      </c>
      <c r="C4" s="2">
        <v>1</v>
      </c>
      <c r="D4" s="2" t="s">
        <v>30</v>
      </c>
      <c r="E4" s="2">
        <v>324</v>
      </c>
      <c r="F4" s="2">
        <v>75</v>
      </c>
      <c r="G4" s="2">
        <f t="shared" si="0"/>
        <v>0.23148148148148148</v>
      </c>
    </row>
    <row r="5" spans="1:8" x14ac:dyDescent="0.35">
      <c r="A5" s="2" t="s">
        <v>7</v>
      </c>
      <c r="B5" s="2" t="s">
        <v>26</v>
      </c>
      <c r="C5" s="2">
        <v>10</v>
      </c>
      <c r="D5" s="2" t="s">
        <v>31</v>
      </c>
      <c r="E5" s="2">
        <v>403</v>
      </c>
      <c r="F5" s="2">
        <v>80658.320000000007</v>
      </c>
      <c r="G5" s="2">
        <f t="shared" si="0"/>
        <v>200.14471464019852</v>
      </c>
      <c r="H5" s="2" t="s">
        <v>32</v>
      </c>
    </row>
    <row r="6" spans="1:8" x14ac:dyDescent="0.35">
      <c r="A6" s="2" t="s">
        <v>8</v>
      </c>
      <c r="B6" s="2" t="s">
        <v>23</v>
      </c>
      <c r="C6" s="2">
        <v>6</v>
      </c>
      <c r="D6" s="2" t="s">
        <v>30</v>
      </c>
      <c r="E6" s="2">
        <v>54</v>
      </c>
      <c r="F6" s="2">
        <v>27</v>
      </c>
      <c r="G6" s="2">
        <f t="shared" si="0"/>
        <v>3</v>
      </c>
    </row>
    <row r="7" spans="1:8" x14ac:dyDescent="0.35">
      <c r="A7" s="2" t="s">
        <v>9</v>
      </c>
      <c r="B7" s="2" t="s">
        <v>26</v>
      </c>
      <c r="C7" s="2">
        <v>20</v>
      </c>
      <c r="D7" s="2" t="s">
        <v>31</v>
      </c>
      <c r="E7" s="2">
        <v>54</v>
      </c>
      <c r="F7" s="2">
        <v>986.65920000000006</v>
      </c>
      <c r="G7" s="2">
        <f t="shared" si="0"/>
        <v>18.271466666666669</v>
      </c>
      <c r="H7" s="2" t="s">
        <v>33</v>
      </c>
    </row>
    <row r="8" spans="1:8" x14ac:dyDescent="0.35">
      <c r="A8" s="2" t="s">
        <v>10</v>
      </c>
      <c r="B8" s="2" t="s">
        <v>26</v>
      </c>
      <c r="C8" s="2">
        <v>20</v>
      </c>
      <c r="D8" s="2" t="s">
        <v>31</v>
      </c>
      <c r="E8" s="2">
        <v>54</v>
      </c>
      <c r="F8" s="2">
        <v>3973.08</v>
      </c>
      <c r="G8" s="2">
        <f t="shared" si="0"/>
        <v>73.575555555555553</v>
      </c>
      <c r="H8" s="2" t="s">
        <v>33</v>
      </c>
    </row>
    <row r="9" spans="1:8" x14ac:dyDescent="0.35">
      <c r="A9" s="2" t="s">
        <v>11</v>
      </c>
      <c r="B9" s="2" t="s">
        <v>23</v>
      </c>
      <c r="C9" s="2">
        <v>6</v>
      </c>
      <c r="D9" s="2" t="s">
        <v>30</v>
      </c>
      <c r="E9" s="2">
        <v>54</v>
      </c>
      <c r="F9" s="2">
        <v>28</v>
      </c>
      <c r="G9" s="2">
        <f t="shared" si="0"/>
        <v>3.1111111111111112</v>
      </c>
    </row>
    <row r="10" spans="1:8" x14ac:dyDescent="0.35">
      <c r="A10" s="2" t="s">
        <v>12</v>
      </c>
      <c r="B10" s="2" t="s">
        <v>23</v>
      </c>
      <c r="C10" s="2">
        <v>5</v>
      </c>
      <c r="D10" s="2" t="s">
        <v>31</v>
      </c>
      <c r="E10" s="2">
        <v>9</v>
      </c>
      <c r="F10" s="2">
        <v>24.1</v>
      </c>
      <c r="G10" s="2">
        <f t="shared" si="0"/>
        <v>2.677777777777778</v>
      </c>
      <c r="H10" s="2" t="s">
        <v>28</v>
      </c>
    </row>
    <row r="11" spans="1:8" x14ac:dyDescent="0.35">
      <c r="A11" s="2" t="s">
        <v>13</v>
      </c>
      <c r="B11" s="2" t="s">
        <v>23</v>
      </c>
      <c r="C11" s="2">
        <v>1</v>
      </c>
      <c r="D11" s="2" t="s">
        <v>30</v>
      </c>
      <c r="E11" s="2">
        <v>9</v>
      </c>
      <c r="F11" s="2">
        <v>57</v>
      </c>
      <c r="G11" s="2">
        <f t="shared" si="0"/>
        <v>6.333333333333333</v>
      </c>
      <c r="H11" s="2" t="s">
        <v>28</v>
      </c>
    </row>
    <row r="12" spans="1:8" x14ac:dyDescent="0.35">
      <c r="A12" s="2" t="s">
        <v>14</v>
      </c>
      <c r="B12" s="2" t="s">
        <v>23</v>
      </c>
      <c r="C12" s="2">
        <v>9</v>
      </c>
      <c r="D12" s="2" t="s">
        <v>30</v>
      </c>
      <c r="E12" s="2">
        <v>9216</v>
      </c>
      <c r="F12" s="2">
        <v>1522.43</v>
      </c>
      <c r="G12" s="2">
        <f t="shared" si="0"/>
        <v>1.4867480468750001</v>
      </c>
    </row>
    <row r="13" spans="1:8" x14ac:dyDescent="0.35">
      <c r="A13" s="2" t="s">
        <v>15</v>
      </c>
      <c r="B13" s="2" t="s">
        <v>23</v>
      </c>
      <c r="C13" s="2">
        <v>1</v>
      </c>
      <c r="D13" s="2" t="s">
        <v>30</v>
      </c>
      <c r="E13" s="2">
        <v>1</v>
      </c>
      <c r="F13" s="2">
        <v>4.5</v>
      </c>
      <c r="G13" s="2">
        <f t="shared" si="0"/>
        <v>4.5</v>
      </c>
    </row>
    <row r="14" spans="1:8" x14ac:dyDescent="0.35">
      <c r="A14" s="2" t="s">
        <v>16</v>
      </c>
      <c r="B14" s="2" t="s">
        <v>26</v>
      </c>
      <c r="C14" s="2">
        <v>1</v>
      </c>
      <c r="D14" s="2" t="s">
        <v>30</v>
      </c>
      <c r="E14" s="2">
        <v>1</v>
      </c>
      <c r="F14" s="2">
        <v>290</v>
      </c>
      <c r="G14" s="2">
        <f t="shared" si="0"/>
        <v>290</v>
      </c>
    </row>
    <row r="15" spans="1:8" x14ac:dyDescent="0.35">
      <c r="A15" s="2" t="s">
        <v>17</v>
      </c>
      <c r="B15" s="2" t="s">
        <v>27</v>
      </c>
      <c r="C15" s="2">
        <v>1</v>
      </c>
      <c r="D15" s="2" t="s">
        <v>31</v>
      </c>
      <c r="E15" s="2">
        <v>12</v>
      </c>
      <c r="F15" s="2">
        <v>364.9</v>
      </c>
      <c r="G15" s="2">
        <f t="shared" si="0"/>
        <v>30.408333333333331</v>
      </c>
      <c r="H15" s="2" t="s">
        <v>34</v>
      </c>
    </row>
    <row r="16" spans="1:8" x14ac:dyDescent="0.35">
      <c r="A16" s="2" t="s">
        <v>18</v>
      </c>
      <c r="B16" s="2" t="s">
        <v>26</v>
      </c>
      <c r="C16" s="2">
        <v>1</v>
      </c>
      <c r="D16" s="2" t="s">
        <v>30</v>
      </c>
      <c r="E16" s="2">
        <v>1</v>
      </c>
      <c r="F16" s="2">
        <v>2.5</v>
      </c>
      <c r="G16" s="2">
        <f t="shared" si="0"/>
        <v>2.5</v>
      </c>
    </row>
    <row r="17" spans="1:8" x14ac:dyDescent="0.35">
      <c r="A17" s="2" t="s">
        <v>19</v>
      </c>
      <c r="B17" s="2" t="s">
        <v>26</v>
      </c>
      <c r="C17" s="2">
        <v>9</v>
      </c>
      <c r="D17" s="2" t="s">
        <v>31</v>
      </c>
      <c r="E17" s="2">
        <v>84</v>
      </c>
      <c r="F17" s="2">
        <v>34222.080000000002</v>
      </c>
      <c r="G17" s="2">
        <f t="shared" si="0"/>
        <v>407.40571428571428</v>
      </c>
      <c r="H17" s="2" t="s">
        <v>33</v>
      </c>
    </row>
    <row r="18" spans="1:8" x14ac:dyDescent="0.35">
      <c r="A18" s="2" t="s">
        <v>20</v>
      </c>
      <c r="B18" s="2" t="s">
        <v>23</v>
      </c>
      <c r="C18" s="2">
        <v>1</v>
      </c>
      <c r="D18" s="2" t="s">
        <v>30</v>
      </c>
      <c r="E18" s="2">
        <v>1</v>
      </c>
      <c r="F18" s="2">
        <v>132</v>
      </c>
      <c r="G18" s="2">
        <f t="shared" si="0"/>
        <v>132</v>
      </c>
    </row>
    <row r="19" spans="1:8" x14ac:dyDescent="0.35">
      <c r="A19" s="2" t="s">
        <v>21</v>
      </c>
      <c r="B19" s="2" t="s">
        <v>26</v>
      </c>
      <c r="C19" s="2">
        <v>9</v>
      </c>
      <c r="D19" s="2" t="s">
        <v>30</v>
      </c>
      <c r="E19" s="2">
        <v>9</v>
      </c>
      <c r="F19" s="2">
        <v>34.5</v>
      </c>
      <c r="G19" s="2">
        <f t="shared" si="0"/>
        <v>34.5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Sionakidis</dc:creator>
  <cp:lastModifiedBy>Aris Sionakidis</cp:lastModifiedBy>
  <dcterms:created xsi:type="dcterms:W3CDTF">2015-06-05T18:17:20Z</dcterms:created>
  <dcterms:modified xsi:type="dcterms:W3CDTF">2025-03-31T15:36:37Z</dcterms:modified>
</cp:coreProperties>
</file>